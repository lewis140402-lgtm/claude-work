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List" sheetId="1" state="visible" r:id="rId3"/>
    <sheet name="Power Budget" sheetId="2" state="visible" r:id="rId4"/>
    <sheet name="Watering 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<sst xmlns="http://schemas.openxmlformats.org/spreadsheetml/2006/main" count="104" uniqueCount="104">
  <si>
    <t xml:space="preserve">The Solar Smart Garden - Parts List</t>
  </si>
  <si>
    <t xml:space="preserve">Blue numbers are yours to edit. Prices are typical UK online prices (checked July 2026); paste your own quotes over them and the totals update.</t>
  </si>
  <si>
    <t xml:space="preserve">Category</t>
  </si>
  <si>
    <t xml:space="preserve">Item</t>
  </si>
  <si>
    <t xml:space="preserve">Spec / notes</t>
  </si>
  <si>
    <t xml:space="preserve">Qty</t>
  </si>
  <si>
    <t xml:space="preserve">Est. unit price</t>
  </si>
  <si>
    <t xml:space="preserve">Est. total</t>
  </si>
  <si>
    <t xml:space="preserve">Where to buy</t>
  </si>
  <si>
    <t xml:space="preserve">Bought?</t>
  </si>
  <si>
    <t xml:space="preserve">Power</t>
  </si>
  <si>
    <t xml:space="preserve">50 W 12 V mono solar panel</t>
  </si>
  <si>
    <t xml:space="preserve">Rigid, with junction box</t>
  </si>
  <si>
    <t xml:space="preserve">10 A PWM solar charge controller</t>
  </si>
  <si>
    <t xml:space="preserve">EPEVER LandStar class, with load terminals</t>
  </si>
  <si>
    <t xml:space="preserve">12 V 20 Ah AGM leisure battery</t>
  </si>
  <si>
    <t xml:space="preserve">Or 12 V 12 Ah LiFePO4 (approx. £50)</t>
  </si>
  <si>
    <t xml:space="preserve">Inline fuse holder + 10 A blade fuses</t>
  </si>
  <si>
    <t xml:space="preserve">One on battery lead, one on load lead</t>
  </si>
  <si>
    <t xml:space="preserve">Panel mounting bracket set</t>
  </si>
  <si>
    <t xml:space="preserve">Wall / pole mount, stainless fixings</t>
  </si>
  <si>
    <t xml:space="preserve">Vented battery box</t>
  </si>
  <si>
    <t xml:space="preserve">Skip if using LiFePO4 in the main enclosure</t>
  </si>
  <si>
    <t xml:space="preserve">Power subtotal</t>
  </si>
  <si>
    <t xml:space="preserve">Control</t>
  </si>
  <si>
    <t xml:space="preserve">Raspberry Pi Zero 2 W</t>
  </si>
  <si>
    <t xml:space="preserve">With header pins fitted</t>
  </si>
  <si>
    <t xml:space="preserve">32 GB microSD card</t>
  </si>
  <si>
    <t xml:space="preserve">Class 10 / A1</t>
  </si>
  <si>
    <t xml:space="preserve">12 V to 5 V buck converter</t>
  </si>
  <si>
    <t xml:space="preserve">3 A, USB output</t>
  </si>
  <si>
    <t xml:space="preserve">ADS1115 ADC board</t>
  </si>
  <si>
    <t xml:space="preserve">Second board set to address 0x49</t>
  </si>
  <si>
    <t xml:space="preserve">Capacitive soil moisture sensor v2</t>
  </si>
  <si>
    <t xml:space="preserve">Capacitive only, never resistive</t>
  </si>
  <si>
    <t xml:space="preserve">8-channel 5 V opto relay board</t>
  </si>
  <si>
    <t xml:space="preserve">Opto-isolated inputs</t>
  </si>
  <si>
    <t xml:space="preserve">IP65 enclosure, approx. 240 x 190 x 90 mm</t>
  </si>
  <si>
    <t xml:space="preserve">Clear lid handy for status checks</t>
  </si>
  <si>
    <t xml:space="preserve">Cable gland pack (M12 / M16)</t>
  </si>
  <si>
    <t xml:space="preserve">One gland per cable entry</t>
  </si>
  <si>
    <t xml:space="preserve">Control subtotal</t>
  </si>
  <si>
    <t xml:space="preserve">Water</t>
  </si>
  <si>
    <t xml:space="preserve">12 V diaphragm pump</t>
  </si>
  <si>
    <t xml:space="preserve">Approx. 4 L/min, 2-3 bar, self-priming</t>
  </si>
  <si>
    <t xml:space="preserve">Inline mesh filter</t>
  </si>
  <si>
    <t xml:space="preserve">Between tank tap and pump. Not optional</t>
  </si>
  <si>
    <t xml:space="preserve">13 mm LDPE supply pipe, 25 m</t>
  </si>
  <si>
    <t xml:space="preserve">The main line</t>
  </si>
  <si>
    <t xml:space="preserve">4 mm micro tube, 10 m</t>
  </si>
  <si>
    <t xml:space="preserve">Valve to drippers</t>
  </si>
  <si>
    <t xml:space="preserve">2 L/h drippers, pack of 30</t>
  </si>
  <si>
    <t xml:space="preserve">Pressure-compensating type preferred</t>
  </si>
  <si>
    <t xml:space="preserve">13 mm + 4 mm fittings assortment</t>
  </si>
  <si>
    <t xml:space="preserve">Tees, elbows, end plugs, punch tool</t>
  </si>
  <si>
    <t xml:space="preserve">210 L water butt with stand and tap</t>
  </si>
  <si>
    <t xml:space="preserve">Often free from councils or community groups</t>
  </si>
  <si>
    <t xml:space="preserve">Water subtotal</t>
  </si>
  <si>
    <t xml:space="preserve">Per-bed valves (skip for single-zone build)</t>
  </si>
  <si>
    <t xml:space="preserve">12 V solenoid valve, normally closed</t>
  </si>
  <si>
    <t xml:space="preserve">One per bed</t>
  </si>
  <si>
    <t xml:space="preserve">Per-bed valves subtotal</t>
  </si>
  <si>
    <t xml:space="preserve">Sundries</t>
  </si>
  <si>
    <t xml:space="preserve">1.5 mm² twin core cable, 5 m</t>
  </si>
  <si>
    <t xml:space="preserve">All 12 V wiring</t>
  </si>
  <si>
    <t xml:space="preserve">Lever connectors, pack</t>
  </si>
  <si>
    <t xml:space="preserve">WAGO type, faster and safer than twisting wires</t>
  </si>
  <si>
    <t xml:space="preserve">Self-amalgamating tape</t>
  </si>
  <si>
    <t xml:space="preserve">Seals sensor tops and outdoor joints</t>
  </si>
  <si>
    <t xml:space="preserve">Heatshrink, tape, screws, misc.</t>
  </si>
  <si>
    <t xml:space="preserve">Sundries subtotal</t>
  </si>
  <si>
    <t xml:space="preserve">FULL BUILD TOTAL</t>
  </si>
  <si>
    <t xml:space="preserve">Single-zone budget build (no valves)</t>
  </si>
  <si>
    <t xml:space="preserve">Solar sizing calculator</t>
  </si>
  <si>
    <t xml:space="preserve">Blue numbers are yours to change. Everything else recalculates.</t>
  </si>
  <si>
    <t xml:space="preserve">Load</t>
  </si>
  <si>
    <t xml:space="preserve">Power (W)</t>
  </si>
  <si>
    <t xml:space="preserve">Hours per day</t>
  </si>
  <si>
    <t xml:space="preserve">Energy (Wh/day)</t>
  </si>
  <si>
    <t xml:space="preserve">Raspberry Pi Zero 2 W (always on)</t>
  </si>
  <si>
    <t xml:space="preserve">Pump (while running)</t>
  </si>
  <si>
    <t xml:space="preserve">Solenoid valves (one at a time)</t>
  </si>
  <si>
    <t xml:space="preserve">Charge controller self-use</t>
  </si>
  <si>
    <t xml:space="preserve">Total daily energy</t>
  </si>
  <si>
    <t xml:space="preserve">Panel sizing</t>
  </si>
  <si>
    <t xml:space="preserve">Peak-sun hours per day (UK Mar-Oct approx. 3)</t>
  </si>
  <si>
    <t xml:space="preserve">System efficiency (cloud, cables, charging)</t>
  </si>
  <si>
    <t xml:space="preserve">Minimum panel size (W)</t>
  </si>
  <si>
    <t xml:space="preserve">Buy the next standard size up (20 / 50 / 100 W) for easy headroom.</t>
  </si>
  <si>
    <t xml:space="preserve">Battery sizing</t>
  </si>
  <si>
    <t xml:space="preserve">Days of autonomy (cloudy days to ride out)</t>
  </si>
  <si>
    <t xml:space="preserve">Usable depth of discharge (0.5 AGM, 0.8 LiFePO4)</t>
  </si>
  <si>
    <t xml:space="preserve">Minimum battery size (Ah at 12 V)</t>
  </si>
  <si>
    <t xml:space="preserve">Watering calculator</t>
  </si>
  <si>
    <t xml:space="preserve">Blue numbers are yours to change.</t>
  </si>
  <si>
    <t xml:space="preserve">Number of beds</t>
  </si>
  <si>
    <t xml:space="preserve">Drippers per bed</t>
  </si>
  <si>
    <t xml:space="preserve">Dripper flow (L/h)</t>
  </si>
  <si>
    <t xml:space="preserve">Watering minutes per bed per day</t>
  </si>
  <si>
    <t xml:space="preserve">Tank size (litres)</t>
  </si>
  <si>
    <t xml:space="preserve">Flow while one bed waters (L/h)</t>
  </si>
  <si>
    <t xml:space="preserve">Water per bed per day (litres)</t>
  </si>
  <si>
    <t xml:space="preserve">Whole garden per day (litres)</t>
  </si>
  <si>
    <t xml:space="preserve">Days a full tank lasts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</si>
</sst>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0.0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5E20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B5E20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1B5E2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DF7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DF7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9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6"/>
      <c r="B6" s="7" t="s">
        <v>11</v>
      </c>
      <c r="C6" s="7" t="s">
        <v>12</v>
      </c>
      <c r="D6" s="8" t="n">
        <v>1</v>
      </c>
      <c r="E6" s="9" t="n">
        <v>38</v>
      </c>
      <c r="F6" s="10" t="n">
        <f aca="false">D6*E6</f>
        <v>38</v>
      </c>
      <c r="G6" s="7"/>
      <c r="H6" s="7"/>
    </row>
    <row r="7" customFormat="false" ht="15" hidden="false" customHeight="false" outlineLevel="0" collapsed="false">
      <c r="A7" s="6"/>
      <c r="B7" s="7" t="s">
        <v>13</v>
      </c>
      <c r="C7" s="7" t="s">
        <v>14</v>
      </c>
      <c r="D7" s="8" t="n">
        <v>1</v>
      </c>
      <c r="E7" s="9" t="n">
        <v>22</v>
      </c>
      <c r="F7" s="10" t="n">
        <f aca="false">D7*E7</f>
        <v>22</v>
      </c>
      <c r="G7" s="7"/>
      <c r="H7" s="7"/>
    </row>
    <row r="8" customFormat="false" ht="15" hidden="false" customHeight="false" outlineLevel="0" collapsed="false">
      <c r="A8" s="6"/>
      <c r="B8" s="7" t="s">
        <v>15</v>
      </c>
      <c r="C8" s="7" t="s">
        <v>16</v>
      </c>
      <c r="D8" s="8" t="n">
        <v>1</v>
      </c>
      <c r="E8" s="9" t="n">
        <v>42</v>
      </c>
      <c r="F8" s="10" t="n">
        <f aca="false">D8*E8</f>
        <v>42</v>
      </c>
      <c r="G8" s="7"/>
      <c r="H8" s="7"/>
    </row>
    <row r="9" customFormat="false" ht="15" hidden="false" customHeight="false" outlineLevel="0" collapsed="false">
      <c r="A9" s="6"/>
      <c r="B9" s="7" t="s">
        <v>17</v>
      </c>
      <c r="C9" s="7" t="s">
        <v>18</v>
      </c>
      <c r="D9" s="8" t="n">
        <v>2</v>
      </c>
      <c r="E9" s="9" t="n">
        <v>3.5</v>
      </c>
      <c r="F9" s="10" t="n">
        <f aca="false">D9*E9</f>
        <v>7</v>
      </c>
      <c r="G9" s="7"/>
      <c r="H9" s="7"/>
    </row>
    <row r="10" customFormat="false" ht="15" hidden="false" customHeight="false" outlineLevel="0" collapsed="false">
      <c r="A10" s="6"/>
      <c r="B10" s="7" t="s">
        <v>19</v>
      </c>
      <c r="C10" s="7" t="s">
        <v>20</v>
      </c>
      <c r="D10" s="8" t="n">
        <v>1</v>
      </c>
      <c r="E10" s="9" t="n">
        <v>12</v>
      </c>
      <c r="F10" s="10" t="n">
        <f aca="false">D10*E10</f>
        <v>12</v>
      </c>
      <c r="G10" s="7"/>
      <c r="H10" s="7"/>
    </row>
    <row r="11" customFormat="false" ht="15" hidden="false" customHeight="false" outlineLevel="0" collapsed="false">
      <c r="A11" s="6"/>
      <c r="B11" s="7" t="s">
        <v>21</v>
      </c>
      <c r="C11" s="7" t="s">
        <v>22</v>
      </c>
      <c r="D11" s="8" t="n">
        <v>1</v>
      </c>
      <c r="E11" s="9" t="n">
        <v>10</v>
      </c>
      <c r="F11" s="10" t="n">
        <f aca="false">D11*E11</f>
        <v>10</v>
      </c>
      <c r="G11" s="7"/>
      <c r="H11" s="7"/>
    </row>
    <row r="12" customFormat="false" ht="15" hidden="false" customHeight="false" outlineLevel="0" collapsed="false">
      <c r="A12" s="6"/>
      <c r="B12" s="11" t="s">
        <v>23</v>
      </c>
      <c r="C12" s="6"/>
      <c r="D12" s="6"/>
      <c r="E12" s="6"/>
      <c r="F12" s="12" t="n">
        <f aca="false">SUM(F6:F11)</f>
        <v>131</v>
      </c>
      <c r="G12" s="6"/>
      <c r="H12" s="6"/>
    </row>
    <row r="14" customFormat="false" ht="15" hidden="false" customHeight="false" outlineLevel="0" collapsed="false">
      <c r="A14" s="4" t="s">
        <v>24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6"/>
      <c r="B15" s="7" t="s">
        <v>25</v>
      </c>
      <c r="C15" s="7" t="s">
        <v>26</v>
      </c>
      <c r="D15" s="8" t="n">
        <v>1</v>
      </c>
      <c r="E15" s="9" t="n">
        <v>17</v>
      </c>
      <c r="F15" s="10" t="n">
        <f aca="false">D15*E15</f>
        <v>17</v>
      </c>
      <c r="G15" s="7"/>
      <c r="H15" s="7"/>
    </row>
    <row r="16" customFormat="false" ht="15" hidden="false" customHeight="false" outlineLevel="0" collapsed="false">
      <c r="A16" s="6"/>
      <c r="B16" s="7" t="s">
        <v>27</v>
      </c>
      <c r="C16" s="7" t="s">
        <v>28</v>
      </c>
      <c r="D16" s="8" t="n">
        <v>1</v>
      </c>
      <c r="E16" s="9" t="n">
        <v>7</v>
      </c>
      <c r="F16" s="10" t="n">
        <f aca="false">D16*E16</f>
        <v>7</v>
      </c>
      <c r="G16" s="7"/>
      <c r="H16" s="7"/>
    </row>
    <row r="17" customFormat="false" ht="15" hidden="false" customHeight="false" outlineLevel="0" collapsed="false">
      <c r="A17" s="6"/>
      <c r="B17" s="7" t="s">
        <v>29</v>
      </c>
      <c r="C17" s="7" t="s">
        <v>30</v>
      </c>
      <c r="D17" s="8" t="n">
        <v>1</v>
      </c>
      <c r="E17" s="9" t="n">
        <v>6</v>
      </c>
      <c r="F17" s="10" t="n">
        <f aca="false">D17*E17</f>
        <v>6</v>
      </c>
      <c r="G17" s="7"/>
      <c r="H17" s="7"/>
    </row>
    <row r="18" customFormat="false" ht="15" hidden="false" customHeight="false" outlineLevel="0" collapsed="false">
      <c r="A18" s="6"/>
      <c r="B18" s="7" t="s">
        <v>31</v>
      </c>
      <c r="C18" s="7" t="s">
        <v>32</v>
      </c>
      <c r="D18" s="8" t="n">
        <v>2</v>
      </c>
      <c r="E18" s="9" t="n">
        <v>5</v>
      </c>
      <c r="F18" s="10" t="n">
        <f aca="false">D18*E18</f>
        <v>10</v>
      </c>
      <c r="G18" s="7"/>
      <c r="H18" s="7"/>
    </row>
    <row r="19" customFormat="false" ht="15" hidden="false" customHeight="false" outlineLevel="0" collapsed="false">
      <c r="A19" s="6"/>
      <c r="B19" s="7" t="s">
        <v>33</v>
      </c>
      <c r="C19" s="7" t="s">
        <v>34</v>
      </c>
      <c r="D19" s="8" t="n">
        <v>5</v>
      </c>
      <c r="E19" s="9" t="n">
        <v>2.6</v>
      </c>
      <c r="F19" s="10" t="n">
        <f aca="false">D19*E19</f>
        <v>13</v>
      </c>
      <c r="G19" s="7"/>
      <c r="H19" s="7"/>
    </row>
    <row r="20" customFormat="false" ht="15" hidden="false" customHeight="false" outlineLevel="0" collapsed="false">
      <c r="A20" s="6"/>
      <c r="B20" s="7" t="s">
        <v>35</v>
      </c>
      <c r="C20" s="7" t="s">
        <v>36</v>
      </c>
      <c r="D20" s="8" t="n">
        <v>1</v>
      </c>
      <c r="E20" s="9" t="n">
        <v>8</v>
      </c>
      <c r="F20" s="10" t="n">
        <f aca="false">D20*E20</f>
        <v>8</v>
      </c>
      <c r="G20" s="7"/>
      <c r="H20" s="7"/>
    </row>
    <row r="21" customFormat="false" ht="15" hidden="false" customHeight="false" outlineLevel="0" collapsed="false">
      <c r="A21" s="6"/>
      <c r="B21" s="7" t="s">
        <v>37</v>
      </c>
      <c r="C21" s="7" t="s">
        <v>38</v>
      </c>
      <c r="D21" s="8" t="n">
        <v>1</v>
      </c>
      <c r="E21" s="9" t="n">
        <v>15</v>
      </c>
      <c r="F21" s="10" t="n">
        <f aca="false">D21*E21</f>
        <v>15</v>
      </c>
      <c r="G21" s="7"/>
      <c r="H21" s="7"/>
    </row>
    <row r="22" customFormat="false" ht="15" hidden="false" customHeight="false" outlineLevel="0" collapsed="false">
      <c r="A22" s="6"/>
      <c r="B22" s="7" t="s">
        <v>39</v>
      </c>
      <c r="C22" s="7" t="s">
        <v>40</v>
      </c>
      <c r="D22" s="8" t="n">
        <v>1</v>
      </c>
      <c r="E22" s="9" t="n">
        <v>6</v>
      </c>
      <c r="F22" s="10" t="n">
        <f aca="false">D22*E22</f>
        <v>6</v>
      </c>
      <c r="G22" s="7"/>
      <c r="H22" s="7"/>
    </row>
    <row r="23" customFormat="false" ht="15" hidden="false" customHeight="false" outlineLevel="0" collapsed="false">
      <c r="A23" s="6"/>
      <c r="B23" s="11" t="s">
        <v>41</v>
      </c>
      <c r="C23" s="6"/>
      <c r="D23" s="6"/>
      <c r="E23" s="6"/>
      <c r="F23" s="12" t="n">
        <f aca="false">SUM(F15:F22)</f>
        <v>82</v>
      </c>
      <c r="G23" s="6"/>
      <c r="H23" s="6"/>
    </row>
    <row r="25" customFormat="false" ht="15" hidden="false" customHeight="false" outlineLevel="0" collapsed="false">
      <c r="A25" s="4" t="s">
        <v>42</v>
      </c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6"/>
      <c r="B26" s="7" t="s">
        <v>43</v>
      </c>
      <c r="C26" s="7" t="s">
        <v>44</v>
      </c>
      <c r="D26" s="8" t="n">
        <v>1</v>
      </c>
      <c r="E26" s="9" t="n">
        <v>17</v>
      </c>
      <c r="F26" s="10" t="n">
        <f aca="false">D26*E26</f>
        <v>17</v>
      </c>
      <c r="G26" s="7"/>
      <c r="H26" s="7"/>
    </row>
    <row r="27" customFormat="false" ht="15" hidden="false" customHeight="false" outlineLevel="0" collapsed="false">
      <c r="A27" s="6"/>
      <c r="B27" s="7" t="s">
        <v>45</v>
      </c>
      <c r="C27" s="7" t="s">
        <v>46</v>
      </c>
      <c r="D27" s="8" t="n">
        <v>1</v>
      </c>
      <c r="E27" s="9" t="n">
        <v>6</v>
      </c>
      <c r="F27" s="10" t="n">
        <f aca="false">D27*E27</f>
        <v>6</v>
      </c>
      <c r="G27" s="7"/>
      <c r="H27" s="7"/>
    </row>
    <row r="28" customFormat="false" ht="15" hidden="false" customHeight="false" outlineLevel="0" collapsed="false">
      <c r="A28" s="6"/>
      <c r="B28" s="7" t="s">
        <v>47</v>
      </c>
      <c r="C28" s="7" t="s">
        <v>48</v>
      </c>
      <c r="D28" s="8" t="n">
        <v>1</v>
      </c>
      <c r="E28" s="9" t="n">
        <v>12</v>
      </c>
      <c r="F28" s="10" t="n">
        <f aca="false">D28*E28</f>
        <v>12</v>
      </c>
      <c r="G28" s="7"/>
      <c r="H28" s="7"/>
    </row>
    <row r="29" customFormat="false" ht="15" hidden="false" customHeight="false" outlineLevel="0" collapsed="false">
      <c r="A29" s="6"/>
      <c r="B29" s="7" t="s">
        <v>49</v>
      </c>
      <c r="C29" s="7" t="s">
        <v>50</v>
      </c>
      <c r="D29" s="8" t="n">
        <v>1</v>
      </c>
      <c r="E29" s="9" t="n">
        <v>5</v>
      </c>
      <c r="F29" s="10" t="n">
        <f aca="false">D29*E29</f>
        <v>5</v>
      </c>
      <c r="G29" s="7"/>
      <c r="H29" s="7"/>
    </row>
    <row r="30" customFormat="false" ht="15" hidden="false" customHeight="false" outlineLevel="0" collapsed="false">
      <c r="A30" s="6"/>
      <c r="B30" s="7" t="s">
        <v>51</v>
      </c>
      <c r="C30" s="7" t="s">
        <v>52</v>
      </c>
      <c r="D30" s="8" t="n">
        <v>1</v>
      </c>
      <c r="E30" s="9" t="n">
        <v>8</v>
      </c>
      <c r="F30" s="10" t="n">
        <f aca="false">D30*E30</f>
        <v>8</v>
      </c>
      <c r="G30" s="7"/>
      <c r="H30" s="7"/>
    </row>
    <row r="31" customFormat="false" ht="15" hidden="false" customHeight="false" outlineLevel="0" collapsed="false">
      <c r="A31" s="6"/>
      <c r="B31" s="7" t="s">
        <v>53</v>
      </c>
      <c r="C31" s="7" t="s">
        <v>54</v>
      </c>
      <c r="D31" s="8" t="n">
        <v>1</v>
      </c>
      <c r="E31" s="9" t="n">
        <v>7</v>
      </c>
      <c r="F31" s="10" t="n">
        <f aca="false">D31*E31</f>
        <v>7</v>
      </c>
      <c r="G31" s="7"/>
      <c r="H31" s="7"/>
    </row>
    <row r="32" customFormat="false" ht="15" hidden="false" customHeight="false" outlineLevel="0" collapsed="false">
      <c r="A32" s="6"/>
      <c r="B32" s="7" t="s">
        <v>55</v>
      </c>
      <c r="C32" s="7" t="s">
        <v>56</v>
      </c>
      <c r="D32" s="8" t="n">
        <v>1</v>
      </c>
      <c r="E32" s="9" t="n">
        <v>25</v>
      </c>
      <c r="F32" s="10" t="n">
        <f aca="false">D32*E32</f>
        <v>25</v>
      </c>
      <c r="G32" s="7"/>
      <c r="H32" s="7"/>
    </row>
    <row r="33" customFormat="false" ht="15" hidden="false" customHeight="false" outlineLevel="0" collapsed="false">
      <c r="A33" s="6"/>
      <c r="B33" s="11" t="s">
        <v>57</v>
      </c>
      <c r="C33" s="6"/>
      <c r="D33" s="6"/>
      <c r="E33" s="6"/>
      <c r="F33" s="12" t="n">
        <f aca="false">SUM(F26:F32)</f>
        <v>80</v>
      </c>
      <c r="G33" s="6"/>
      <c r="H33" s="6"/>
    </row>
    <row r="35" customFormat="false" ht="15" hidden="false" customHeight="false" outlineLevel="0" collapsed="false">
      <c r="A35" s="4" t="s">
        <v>58</v>
      </c>
      <c r="B35" s="5"/>
      <c r="C35" s="5"/>
      <c r="D35" s="5"/>
      <c r="E35" s="5"/>
      <c r="F35" s="5"/>
      <c r="G35" s="5"/>
      <c r="H35" s="5"/>
    </row>
    <row r="36" customFormat="false" ht="15" hidden="false" customHeight="false" outlineLevel="0" collapsed="false">
      <c r="A36" s="6"/>
      <c r="B36" s="7" t="s">
        <v>59</v>
      </c>
      <c r="C36" s="7" t="s">
        <v>60</v>
      </c>
      <c r="D36" s="8" t="n">
        <v>5</v>
      </c>
      <c r="E36" s="9" t="n">
        <v>7.5</v>
      </c>
      <c r="F36" s="10" t="n">
        <f aca="false">D36*E36</f>
        <v>37.5</v>
      </c>
      <c r="G36" s="7"/>
      <c r="H36" s="7"/>
    </row>
    <row r="37" customFormat="false" ht="15" hidden="false" customHeight="false" outlineLevel="0" collapsed="false">
      <c r="A37" s="6"/>
      <c r="B37" s="11" t="s">
        <v>61</v>
      </c>
      <c r="C37" s="6"/>
      <c r="D37" s="6"/>
      <c r="E37" s="6"/>
      <c r="F37" s="12" t="n">
        <f aca="false">SUM(F36:F36)</f>
        <v>37.5</v>
      </c>
      <c r="G37" s="6"/>
      <c r="H37" s="6"/>
    </row>
    <row r="39" customFormat="false" ht="15" hidden="false" customHeight="false" outlineLevel="0" collapsed="false">
      <c r="A39" s="4" t="s">
        <v>62</v>
      </c>
      <c r="B39" s="5"/>
      <c r="C39" s="5"/>
      <c r="D39" s="5"/>
      <c r="E39" s="5"/>
      <c r="F39" s="5"/>
      <c r="G39" s="5"/>
      <c r="H39" s="5"/>
    </row>
    <row r="40" customFormat="false" ht="15" hidden="false" customHeight="false" outlineLevel="0" collapsed="false">
      <c r="A40" s="6"/>
      <c r="B40" s="7" t="s">
        <v>63</v>
      </c>
      <c r="C40" s="7" t="s">
        <v>64</v>
      </c>
      <c r="D40" s="8" t="n">
        <v>1</v>
      </c>
      <c r="E40" s="9" t="n">
        <v>6</v>
      </c>
      <c r="F40" s="10" t="n">
        <f aca="false">D40*E40</f>
        <v>6</v>
      </c>
      <c r="G40" s="7"/>
      <c r="H40" s="7"/>
    </row>
    <row r="41" customFormat="false" ht="15" hidden="false" customHeight="false" outlineLevel="0" collapsed="false">
      <c r="A41" s="6"/>
      <c r="B41" s="7" t="s">
        <v>65</v>
      </c>
      <c r="C41" s="7" t="s">
        <v>66</v>
      </c>
      <c r="D41" s="8" t="n">
        <v>1</v>
      </c>
      <c r="E41" s="9" t="n">
        <v>6</v>
      </c>
      <c r="F41" s="10" t="n">
        <f aca="false">D41*E41</f>
        <v>6</v>
      </c>
      <c r="G41" s="7"/>
      <c r="H41" s="7"/>
    </row>
    <row r="42" customFormat="false" ht="15" hidden="false" customHeight="false" outlineLevel="0" collapsed="false">
      <c r="A42" s="6"/>
      <c r="B42" s="7" t="s">
        <v>67</v>
      </c>
      <c r="C42" s="7" t="s">
        <v>68</v>
      </c>
      <c r="D42" s="8" t="n">
        <v>1</v>
      </c>
      <c r="E42" s="9" t="n">
        <v>4</v>
      </c>
      <c r="F42" s="10" t="n">
        <f aca="false">D42*E42</f>
        <v>4</v>
      </c>
      <c r="G42" s="7"/>
      <c r="H42" s="7"/>
    </row>
    <row r="43" customFormat="false" ht="15" hidden="false" customHeight="false" outlineLevel="0" collapsed="false">
      <c r="A43" s="6"/>
      <c r="B43" s="7" t="s">
        <v>69</v>
      </c>
      <c r="C43" s="7"/>
      <c r="D43" s="8" t="n">
        <v>1</v>
      </c>
      <c r="E43" s="9" t="n">
        <v>6</v>
      </c>
      <c r="F43" s="10" t="n">
        <f aca="false">D43*E43</f>
        <v>6</v>
      </c>
      <c r="G43" s="7"/>
      <c r="H43" s="7"/>
    </row>
    <row r="44" customFormat="false" ht="15" hidden="false" customHeight="false" outlineLevel="0" collapsed="false">
      <c r="A44" s="6"/>
      <c r="B44" s="11" t="s">
        <v>70</v>
      </c>
      <c r="C44" s="6"/>
      <c r="D44" s="6"/>
      <c r="E44" s="6"/>
      <c r="F44" s="12" t="n">
        <f aca="false">SUM(F40:F43)</f>
        <v>22</v>
      </c>
      <c r="G44" s="6"/>
      <c r="H44" s="6"/>
    </row>
    <row r="46" customFormat="false" ht="15" hidden="false" customHeight="false" outlineLevel="0" collapsed="false">
      <c r="B46" s="13" t="s">
        <v>71</v>
      </c>
      <c r="F46" s="14" t="n">
        <f aca="false">F12+F23+F33+F37+F44</f>
        <v>352.5</v>
      </c>
    </row>
    <row r="47" customFormat="false" ht="15" hidden="false" customHeight="false" outlineLevel="0" collapsed="false">
      <c r="B47" s="15" t="s">
        <v>72</v>
      </c>
      <c r="F47" s="16" t="n">
        <f aca="false">F46-F37</f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5"/>
  </cols>
  <sheetData>
    <row r="1" customFormat="false" ht="18.5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3" t="s">
        <v>75</v>
      </c>
      <c r="B4" s="3" t="s">
        <v>76</v>
      </c>
      <c r="C4" s="3" t="s">
        <v>77</v>
      </c>
      <c r="D4" s="3" t="s">
        <v>78</v>
      </c>
    </row>
    <row r="5" customFormat="false" ht="15" hidden="false" customHeight="false" outlineLevel="0" collapsed="false">
      <c r="A5" s="7" t="s">
        <v>79</v>
      </c>
      <c r="B5" s="17" t="n">
        <v>1.2</v>
      </c>
      <c r="C5" s="17" t="n">
        <v>24</v>
      </c>
      <c r="D5" s="18" t="n">
        <f aca="false">B5*C5</f>
        <v>28.8</v>
      </c>
    </row>
    <row r="6" customFormat="false" ht="15" hidden="false" customHeight="false" outlineLevel="0" collapsed="false">
      <c r="A6" s="7" t="s">
        <v>80</v>
      </c>
      <c r="B6" s="17" t="n">
        <v>36</v>
      </c>
      <c r="C6" s="17" t="n">
        <v>0.25</v>
      </c>
      <c r="D6" s="18" t="n">
        <f aca="false">B6*C6</f>
        <v>9</v>
      </c>
    </row>
    <row r="7" customFormat="false" ht="15" hidden="false" customHeight="false" outlineLevel="0" collapsed="false">
      <c r="A7" s="7" t="s">
        <v>81</v>
      </c>
      <c r="B7" s="17" t="n">
        <v>6</v>
      </c>
      <c r="C7" s="17" t="n">
        <v>0.25</v>
      </c>
      <c r="D7" s="18" t="n">
        <f aca="false">B7*C7</f>
        <v>1.5</v>
      </c>
    </row>
    <row r="8" customFormat="false" ht="15" hidden="false" customHeight="false" outlineLevel="0" collapsed="false">
      <c r="A8" s="7" t="s">
        <v>82</v>
      </c>
      <c r="B8" s="17" t="n">
        <v>0.12</v>
      </c>
      <c r="C8" s="17" t="n">
        <v>24</v>
      </c>
      <c r="D8" s="18" t="n">
        <f aca="false">B8*C8</f>
        <v>2.88</v>
      </c>
    </row>
    <row r="9" customFormat="false" ht="15" hidden="false" customHeight="false" outlineLevel="0" collapsed="false">
      <c r="A9" s="11" t="s">
        <v>83</v>
      </c>
      <c r="B9" s="6"/>
      <c r="C9" s="6"/>
      <c r="D9" s="19" t="n">
        <f aca="false">SUM(D5:D8)</f>
        <v>42.18</v>
      </c>
    </row>
    <row r="11" customFormat="false" ht="15" hidden="false" customHeight="false" outlineLevel="0" collapsed="false">
      <c r="A11" s="20" t="s">
        <v>84</v>
      </c>
    </row>
    <row r="12" customFormat="false" ht="15" hidden="false" customHeight="false" outlineLevel="0" collapsed="false">
      <c r="A12" s="21" t="s">
        <v>85</v>
      </c>
      <c r="B12" s="22" t="n">
        <v>3</v>
      </c>
    </row>
    <row r="13" customFormat="false" ht="15" hidden="false" customHeight="false" outlineLevel="0" collapsed="false">
      <c r="A13" s="21" t="s">
        <v>86</v>
      </c>
      <c r="B13" s="23" t="n">
        <v>0.7</v>
      </c>
    </row>
    <row r="14" customFormat="false" ht="15" hidden="false" customHeight="false" outlineLevel="0" collapsed="false">
      <c r="A14" s="15" t="s">
        <v>87</v>
      </c>
      <c r="B14" s="15" t="n">
        <f aca="false">ROUNDUP(D9/B12/B13,0)</f>
        <v>21</v>
      </c>
    </row>
    <row r="15" customFormat="false" ht="15" hidden="false" customHeight="false" outlineLevel="0" collapsed="false">
      <c r="A15" s="2" t="s">
        <v>88</v>
      </c>
    </row>
    <row r="17" customFormat="false" ht="15" hidden="false" customHeight="false" outlineLevel="0" collapsed="false">
      <c r="A17" s="20" t="s">
        <v>89</v>
      </c>
    </row>
    <row r="18" customFormat="false" ht="15" hidden="false" customHeight="false" outlineLevel="0" collapsed="false">
      <c r="A18" s="21" t="s">
        <v>90</v>
      </c>
      <c r="B18" s="22" t="n">
        <v>3</v>
      </c>
    </row>
    <row r="19" customFormat="false" ht="15" hidden="false" customHeight="false" outlineLevel="0" collapsed="false">
      <c r="A19" s="21" t="s">
        <v>91</v>
      </c>
      <c r="B19" s="23" t="n">
        <v>0.5</v>
      </c>
    </row>
    <row r="20" customFormat="false" ht="15" hidden="false" customHeight="false" outlineLevel="0" collapsed="false">
      <c r="A20" s="15" t="s">
        <v>92</v>
      </c>
      <c r="B20" s="15" t="n">
        <f aca="false">ROUNDUP(D9*B18/B19/12,0)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8.5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7" t="s">
        <v>95</v>
      </c>
      <c r="B4" s="17" t="n">
        <v>5</v>
      </c>
    </row>
    <row r="5" customFormat="false" ht="15" hidden="false" customHeight="false" outlineLevel="0" collapsed="false">
      <c r="A5" s="7" t="s">
        <v>96</v>
      </c>
      <c r="B5" s="17" t="n">
        <v>6</v>
      </c>
    </row>
    <row r="6" customFormat="false" ht="15" hidden="false" customHeight="false" outlineLevel="0" collapsed="false">
      <c r="A6" s="7" t="s">
        <v>97</v>
      </c>
      <c r="B6" s="17" t="n">
        <v>2</v>
      </c>
    </row>
    <row r="7" customFormat="false" ht="15" hidden="false" customHeight="false" outlineLevel="0" collapsed="false">
      <c r="A7" s="7" t="s">
        <v>98</v>
      </c>
      <c r="B7" s="17" t="n">
        <v>15</v>
      </c>
    </row>
    <row r="8" customFormat="false" ht="15" hidden="false" customHeight="false" outlineLevel="0" collapsed="false">
      <c r="A8" s="7" t="s">
        <v>99</v>
      </c>
      <c r="B8" s="17" t="n">
        <v>210</v>
      </c>
    </row>
    <row r="9" customFormat="false" ht="15" hidden="false" customHeight="false" outlineLevel="0" collapsed="false">
      <c r="A9" s="11" t="s">
        <v>100</v>
      </c>
      <c r="B9" s="19" t="n">
        <f aca="false">B5*B6</f>
        <v>12</v>
      </c>
    </row>
    <row r="10" customFormat="false" ht="15" hidden="false" customHeight="false" outlineLevel="0" collapsed="false">
      <c r="A10" s="11" t="s">
        <v>101</v>
      </c>
      <c r="B10" s="19" t="n">
        <f aca="false">B9*B7/60</f>
        <v>3</v>
      </c>
    </row>
    <row r="11" customFormat="false" ht="15" hidden="false" customHeight="false" outlineLevel="0" collapsed="false">
      <c r="A11" s="11" t="s">
        <v>102</v>
      </c>
      <c r="B11" s="19" t="n">
        <f aca="false">B4*B10</f>
        <v>15</v>
      </c>
    </row>
    <row r="12" customFormat="false" ht="15" hidden="false" customHeight="false" outlineLevel="0" collapsed="false">
      <c r="A12" s="11" t="s">
        <v>103</v>
      </c>
      <c r="B12" s="19" t="n">
        <f aca="false">B8/B11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2026-07-04T13:08:51Z</dcterms:created>
  <dc:creator>openpyxl</dc:creator>
  <dc:description/>
  <dc:language>en-US</dc:language>
  <cp:lastModifiedBy/>
  <dcterms:modified xsi:type="dcterms:W3CDTF">2026-07-04T13:08:51Z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